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ohan\ws\git\TFM\scripts\rag_pipeline\evaluate_llms\experiments\n30_test\"/>
    </mc:Choice>
  </mc:AlternateContent>
  <xr:revisionPtr revIDLastSave="0" documentId="13_ncr:1_{09E626EF-E611-4EDE-ADE5-E3A2BC0764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chart.v1.0" hidden="1">Sheet1!$E$2:$E$31</definedName>
    <definedName name="_xlchart.v1.1" hidden="1">Sheet1!$G$2:$G$31</definedName>
    <definedName name="_xlchart.v1.2" hidden="1">Sheet1!$F$2:$F$31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43" i="1" s="1"/>
  <c r="F42" i="1"/>
  <c r="F43" i="1" s="1"/>
  <c r="E42" i="1"/>
  <c r="F39" i="1"/>
  <c r="G39" i="1"/>
  <c r="F40" i="1"/>
  <c r="G40" i="1"/>
  <c r="F41" i="1"/>
  <c r="G41" i="1"/>
  <c r="E43" i="1"/>
  <c r="E41" i="1"/>
  <c r="E40" i="1"/>
  <c r="E39" i="1"/>
  <c r="F35" i="1"/>
  <c r="G35" i="1"/>
  <c r="F36" i="1"/>
  <c r="G36" i="1"/>
  <c r="F37" i="1"/>
  <c r="G37" i="1"/>
  <c r="E37" i="1"/>
  <c r="E36" i="1"/>
  <c r="E35" i="1"/>
  <c r="F34" i="1"/>
  <c r="G34" i="1"/>
  <c r="E34" i="1"/>
  <c r="F33" i="1"/>
  <c r="G33" i="1"/>
  <c r="E33" i="1"/>
</calcChain>
</file>

<file path=xl/sharedStrings.xml><?xml version="1.0" encoding="utf-8"?>
<sst xmlns="http://schemas.openxmlformats.org/spreadsheetml/2006/main" count="107" uniqueCount="48">
  <si>
    <t>sample_id</t>
  </si>
  <si>
    <t>question</t>
  </si>
  <si>
    <t>generated_answer</t>
  </si>
  <si>
    <t>ground_truth</t>
  </si>
  <si>
    <t>ROUGE-L</t>
  </si>
  <si>
    <t>BERTScore</t>
  </si>
  <si>
    <t>BARTScore</t>
  </si>
  <si>
    <t>Who is referred to as the Fully-Enlightened One in the text?</t>
  </si>
  <si>
    <t>The Buddha, a spiritual teacher from ancient India, is referred to as the Fully-Enlightened One.</t>
  </si>
  <si>
    <t>The Buddha is referred to as the Fully-Enlightened One.</t>
  </si>
  <si>
    <t>The Buddha is referred to as the Fully-Enlightened One in the text, having achieved enlightenment under the Bodhi Tree and ending his suffering through meditation and self-discovery.</t>
  </si>
  <si>
    <t>The Buddha, also known as Siddhartha Gautama, is referred to as the Fully-Enlightened One due to his attainment of enlightenment under the Bodhi Tree.</t>
  </si>
  <si>
    <t>Siddhartha Gautama, also known as the Buddha, is often referred to as the "Fully-Enlightened One" in Buddhist texts.</t>
  </si>
  <si>
    <t>The Buddha, Siddhartha Gautama, is commonly referred to as the Fully Enlightened One.</t>
  </si>
  <si>
    <t>The Buddha is referred to as the Fully Enlightened One, a title given due to his profound understanding of the Four Noble Truths and his attainment of Nirvana.</t>
  </si>
  <si>
    <t>The Buddha is commonly referred to as the Fully-Enlightened One in Buddhist scriptures and traditions.</t>
  </si>
  <si>
    <t>The Buddha, Siddhartha Gautama, is referred to as the Fully-Enlightened One in the text.</t>
  </si>
  <si>
    <t>The Buddha, Siddhartha Gautama, is commonly referred to as the "Fully-Enlightened One" due to his attainment of enlightenment under the Bodhi Tree.</t>
  </si>
  <si>
    <t>Siddhartha Gautama, also known as the Buddha, is referred to as the Fully-Enlightened One in the text.</t>
  </si>
  <si>
    <t>The Buddha is often referred to as the Fully-Enlightened One, a nickname derived from his attainment of enlightenment (Nirvana) through his spiritual practices and teachings.</t>
  </si>
  <si>
    <t>The Buddha, also known as Siddhartha Gautama, is commonly referred to as the Fully-Enlightened One.</t>
  </si>
  <si>
    <t>The Buddha, a historical figure from ancient India, is often referred to as the Fully Enlightened One due to his attainment of enlightenment under the Bodhi Tree.</t>
  </si>
  <si>
    <t>In the Bhagavad Gita, Krishna is referred to as the Fully-Enlightened One.</t>
  </si>
  <si>
    <t>In the text, Siddhartha Gautama is commonly referred to as the "Fully-Enlightened One" due to his attainment of enlightenment or Nirvana through intense meditation and spiritual practice.</t>
  </si>
  <si>
    <t>The Buddha, Siddhartha Gautama, is commonly referred to as the Fully-Enlightened One.</t>
  </si>
  <si>
    <t>The Buddha, or Siddhartha Gautama, is referred to as the Fully-Enlightened One in the text.</t>
  </si>
  <si>
    <t>The Buddha is commonly referred to as the Fully-Enlightened One.</t>
  </si>
  <si>
    <t>The Buddha is commonly referred to as the Fully-Enlightened One, having attained complete enlightenment and understanding of the universe through meditation and introspection.</t>
  </si>
  <si>
    <t>Buddha is commonly referred to as the Fully-Enlightened One in Buddhist scriptures, particularly in the Pali Canon.</t>
  </si>
  <si>
    <t>Buddha is commonly referred to as the "Fully-Enlightened One" due to his attainment of supreme enlightenment and understanding of the true nature of reality.</t>
  </si>
  <si>
    <t>Buddha is commonly referred to as the Fully-Enlightened One, as indicated by his attainment of Nirvana and realization of the Four Noble Truths.</t>
  </si>
  <si>
    <t>Buddha is commonly referred to as the Fully-Enlightened One, also known as Siddhartha Gautama or the Dalai Lama.</t>
  </si>
  <si>
    <t>The Buddha, Siddhartha Gautama, is commonly referred to as the Fully-Enlightened One in Buddhist texts due to his attainment of enlightenment under the Bodhi Tree.</t>
  </si>
  <si>
    <t>Buddha, also known as Siddhartha Gautama, is referred to as the Fully-Enlightened One in Buddhist texts.</t>
  </si>
  <si>
    <t>Siddhartha Gautama, also known as the Buddha, is referred to as the Fully-Enlightened One in Buddhist texts.</t>
  </si>
  <si>
    <t>The Buddha, a historical figure from ancient India, is often referred to as the "Fully-Enlightened One" due to his attainment of enlightenment or Nirvana through meditation and self-inquiry.</t>
  </si>
  <si>
    <t>Buddha, also known as Siddhartha Gautama, is commonly referred to as the Fully Enlightened One in Buddhist texts.</t>
  </si>
  <si>
    <t>The Buddha, also known as Siddhartha Gautama, is commonly referred to as the Fully-Enlightened One in Buddhist texts.</t>
  </si>
  <si>
    <t>mean</t>
  </si>
  <si>
    <t>std</t>
  </si>
  <si>
    <t>min</t>
  </si>
  <si>
    <t>max</t>
  </si>
  <si>
    <t>med</t>
  </si>
  <si>
    <t>n</t>
  </si>
  <si>
    <t>S</t>
  </si>
  <si>
    <t>K</t>
  </si>
  <si>
    <t>JB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</si>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</sst>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Iskoola Pota"/>
      <family val="2"/>
      <scheme val="minor"/>
    </font>
    <font>
      <b/>
      <sz val="11"/>
      <name val="Iskoola Pota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90A3572-0D7C-43A4-8499-48537B89907C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40C79B47-93BB-4818-8B45-EAB9D9FC6E18}">
          <cx:dataId val="0"/>
          <cx:layoutPr>
            <cx:binning intervalClosed="r">
              <cx:binSize val="0.005000000000000001"/>
            </cx:binning>
          </cx:layoutPr>
        </cx:series>
      </cx:plotAreaRegion>
      <cx:axis id="0">
        <cx:catScaling gapWidth="0"/>
        <cx:minorGridlines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74D7444-62FF-47F3-9BBF-F432E46E662A}"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98424</xdr:colOff>
      <xdr:row>1</xdr:row>
      <xdr:rowOff>22411</xdr:rowOff>
    </xdr:from>
    <xdr:to>
      <xdr:col>14</xdr:col>
      <xdr:colOff>141940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F30E6D6-F090-CE79-0DB0-9CE6722110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4824" y="206561"/>
              <a:ext cx="3091516" cy="2841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i-L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392392</xdr:colOff>
      <xdr:row>1</xdr:row>
      <xdr:rowOff>32870</xdr:rowOff>
    </xdr:from>
    <xdr:to>
      <xdr:col>20</xdr:col>
      <xdr:colOff>127000</xdr:colOff>
      <xdr:row>16</xdr:row>
      <xdr:rowOff>156882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1EEE2A3-9AD8-5B5D-D400-0C524ECBD7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6792" y="217020"/>
              <a:ext cx="3392208" cy="2791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i-L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250264</xdr:colOff>
      <xdr:row>1</xdr:row>
      <xdr:rowOff>96370</xdr:rowOff>
    </xdr:from>
    <xdr:to>
      <xdr:col>25</xdr:col>
      <xdr:colOff>201706</xdr:colOff>
      <xdr:row>16</xdr:row>
      <xdr:rowOff>119530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B3AA663-18FA-66E4-7596-61D8A856F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2264" y="280520"/>
              <a:ext cx="2999442" cy="269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i-LK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70" zoomScaleNormal="70" workbookViewId="0">
      <selection activeCell="Q30" sqref="Q30"/>
    </sheetView>
  </sheetViews>
  <sheetFormatPr defaultRowHeight="14"/>
  <cols>
    <col min="3" max="3" width="24.1796875" customWidth="1"/>
  </cols>
  <sheetData>
    <row r="1" spans="1:7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0.76923076923076927</v>
      </c>
      <c r="F2">
        <v>0.95779365301132202</v>
      </c>
      <c r="G2">
        <v>-0.46569725871086121</v>
      </c>
    </row>
    <row r="3" spans="1:7">
      <c r="A3">
        <v>2</v>
      </c>
      <c r="B3" t="s">
        <v>7</v>
      </c>
      <c r="C3" t="s">
        <v>10</v>
      </c>
      <c r="D3" t="s">
        <v>9</v>
      </c>
      <c r="E3">
        <v>0.51282051282051289</v>
      </c>
      <c r="F3">
        <v>0.92737054824829102</v>
      </c>
      <c r="G3">
        <v>-0.55230486392974854</v>
      </c>
    </row>
    <row r="4" spans="1:7">
      <c r="A4">
        <v>3</v>
      </c>
      <c r="B4" t="s">
        <v>7</v>
      </c>
      <c r="C4" t="s">
        <v>11</v>
      </c>
      <c r="D4" t="s">
        <v>9</v>
      </c>
      <c r="E4">
        <v>0.57142857142857151</v>
      </c>
      <c r="F4">
        <v>0.93039119243621826</v>
      </c>
      <c r="G4">
        <v>-0.68393427133560181</v>
      </c>
    </row>
    <row r="5" spans="1:7">
      <c r="A5">
        <v>4</v>
      </c>
      <c r="B5" t="s">
        <v>7</v>
      </c>
      <c r="C5" t="s">
        <v>12</v>
      </c>
      <c r="D5" t="s">
        <v>9</v>
      </c>
      <c r="E5">
        <v>0.68965517241379315</v>
      </c>
      <c r="F5">
        <v>0.91432851552963257</v>
      </c>
      <c r="G5">
        <v>-1.0852494239807129</v>
      </c>
    </row>
    <row r="6" spans="1:7">
      <c r="A6">
        <v>5</v>
      </c>
      <c r="B6" t="s">
        <v>7</v>
      </c>
      <c r="C6" t="s">
        <v>13</v>
      </c>
      <c r="D6" t="s">
        <v>9</v>
      </c>
      <c r="E6">
        <v>0.86956521739130443</v>
      </c>
      <c r="F6">
        <v>0.93782651424407959</v>
      </c>
      <c r="G6">
        <v>-1.1704167127609251</v>
      </c>
    </row>
    <row r="7" spans="1:7">
      <c r="A7">
        <v>6</v>
      </c>
      <c r="B7" t="s">
        <v>7</v>
      </c>
      <c r="C7" t="s">
        <v>14</v>
      </c>
      <c r="D7" t="s">
        <v>9</v>
      </c>
      <c r="E7">
        <v>0.52631578947368418</v>
      </c>
      <c r="F7">
        <v>0.93322086334228516</v>
      </c>
      <c r="G7">
        <v>-0.94973856210708618</v>
      </c>
    </row>
    <row r="8" spans="1:7">
      <c r="A8">
        <v>7</v>
      </c>
      <c r="B8" t="s">
        <v>7</v>
      </c>
      <c r="C8" t="s">
        <v>15</v>
      </c>
      <c r="D8" t="s">
        <v>9</v>
      </c>
      <c r="E8">
        <v>0.76923076923076927</v>
      </c>
      <c r="F8">
        <v>0.96389508247375488</v>
      </c>
      <c r="G8">
        <v>-0.77109414339065552</v>
      </c>
    </row>
    <row r="9" spans="1:7">
      <c r="A9">
        <v>8</v>
      </c>
      <c r="B9" t="s">
        <v>7</v>
      </c>
      <c r="C9" t="s">
        <v>16</v>
      </c>
      <c r="D9" t="s">
        <v>9</v>
      </c>
      <c r="E9">
        <v>0.8</v>
      </c>
      <c r="F9">
        <v>0.94455987215042114</v>
      </c>
      <c r="G9">
        <v>-0.56335484981536865</v>
      </c>
    </row>
    <row r="10" spans="1:7">
      <c r="A10">
        <v>9</v>
      </c>
      <c r="B10" t="s">
        <v>7</v>
      </c>
      <c r="C10" t="s">
        <v>17</v>
      </c>
      <c r="D10" t="s">
        <v>9</v>
      </c>
      <c r="E10">
        <v>0.60606060606060608</v>
      </c>
      <c r="F10">
        <v>0.92312759160995483</v>
      </c>
      <c r="G10">
        <v>-0.95547103881835938</v>
      </c>
    </row>
    <row r="11" spans="1:7">
      <c r="A11">
        <v>10</v>
      </c>
      <c r="B11" t="s">
        <v>7</v>
      </c>
      <c r="C11" t="s">
        <v>18</v>
      </c>
      <c r="D11" t="s">
        <v>9</v>
      </c>
      <c r="E11">
        <v>0.7142857142857143</v>
      </c>
      <c r="F11">
        <v>0.92353808879852295</v>
      </c>
      <c r="G11">
        <v>-0.72611498832702637</v>
      </c>
    </row>
    <row r="12" spans="1:7">
      <c r="A12">
        <v>11</v>
      </c>
      <c r="B12" t="s">
        <v>7</v>
      </c>
      <c r="C12" t="s">
        <v>19</v>
      </c>
      <c r="D12" t="s">
        <v>9</v>
      </c>
      <c r="E12">
        <v>0.55555555555555558</v>
      </c>
      <c r="F12">
        <v>0.93002563714981079</v>
      </c>
      <c r="G12">
        <v>-0.75658565759658813</v>
      </c>
    </row>
    <row r="13" spans="1:7">
      <c r="A13">
        <v>12</v>
      </c>
      <c r="B13" t="s">
        <v>7</v>
      </c>
      <c r="C13" t="s">
        <v>20</v>
      </c>
      <c r="D13" t="s">
        <v>9</v>
      </c>
      <c r="E13">
        <v>0.76923076923076927</v>
      </c>
      <c r="F13">
        <v>0.94215315580368042</v>
      </c>
      <c r="G13">
        <v>-0.70794034004211426</v>
      </c>
    </row>
    <row r="14" spans="1:7">
      <c r="A14">
        <v>13</v>
      </c>
      <c r="B14" t="s">
        <v>7</v>
      </c>
      <c r="C14" t="s">
        <v>21</v>
      </c>
      <c r="D14" t="s">
        <v>9</v>
      </c>
      <c r="E14">
        <v>0.54054054054054057</v>
      </c>
      <c r="F14">
        <v>0.91926717758178711</v>
      </c>
      <c r="G14">
        <v>-1.361365079879761</v>
      </c>
    </row>
    <row r="15" spans="1:7">
      <c r="A15">
        <v>14</v>
      </c>
      <c r="B15" t="s">
        <v>7</v>
      </c>
      <c r="C15" t="s">
        <v>22</v>
      </c>
      <c r="D15" t="s">
        <v>9</v>
      </c>
      <c r="E15">
        <v>0.78260869565217384</v>
      </c>
      <c r="F15">
        <v>0.92922031879425049</v>
      </c>
      <c r="G15">
        <v>-1.108711361885071</v>
      </c>
    </row>
    <row r="16" spans="1:7">
      <c r="A16">
        <v>15</v>
      </c>
      <c r="B16" t="s">
        <v>7</v>
      </c>
      <c r="C16" t="s">
        <v>23</v>
      </c>
      <c r="D16" t="s">
        <v>9</v>
      </c>
      <c r="E16">
        <v>0.47368421052631582</v>
      </c>
      <c r="F16">
        <v>0.90168499946594238</v>
      </c>
      <c r="G16">
        <v>-1.2189257144927981</v>
      </c>
    </row>
    <row r="17" spans="1:7">
      <c r="A17">
        <v>16</v>
      </c>
      <c r="B17" t="s">
        <v>7</v>
      </c>
      <c r="C17" t="s">
        <v>24</v>
      </c>
      <c r="D17" t="s">
        <v>9</v>
      </c>
      <c r="E17">
        <v>0.86956521739130443</v>
      </c>
      <c r="F17">
        <v>0.94687706232070923</v>
      </c>
      <c r="G17">
        <v>-0.65977257490158081</v>
      </c>
    </row>
    <row r="18" spans="1:7">
      <c r="A18">
        <v>17</v>
      </c>
      <c r="B18" t="s">
        <v>7</v>
      </c>
      <c r="C18" t="s">
        <v>25</v>
      </c>
      <c r="D18" t="s">
        <v>9</v>
      </c>
      <c r="E18">
        <v>0.76923076923076927</v>
      </c>
      <c r="F18">
        <v>0.9460219144821167</v>
      </c>
      <c r="G18">
        <v>-0.57865059375762939</v>
      </c>
    </row>
    <row r="19" spans="1:7">
      <c r="A19">
        <v>18</v>
      </c>
      <c r="B19" t="s">
        <v>7</v>
      </c>
      <c r="C19" t="s">
        <v>26</v>
      </c>
      <c r="D19" t="s">
        <v>9</v>
      </c>
      <c r="E19">
        <v>0.95238095238095233</v>
      </c>
      <c r="F19">
        <v>0.98702198266983032</v>
      </c>
      <c r="G19">
        <v>-0.60495632886886597</v>
      </c>
    </row>
    <row r="20" spans="1:7">
      <c r="A20">
        <v>19</v>
      </c>
      <c r="B20" t="s">
        <v>7</v>
      </c>
      <c r="C20" t="s">
        <v>27</v>
      </c>
      <c r="D20" t="s">
        <v>9</v>
      </c>
      <c r="E20">
        <v>0.58823529411764708</v>
      </c>
      <c r="F20">
        <v>0.93841856718063354</v>
      </c>
      <c r="G20">
        <v>-0.73656195402145386</v>
      </c>
    </row>
    <row r="21" spans="1:7">
      <c r="A21">
        <v>20</v>
      </c>
      <c r="B21" t="s">
        <v>7</v>
      </c>
      <c r="C21" t="s">
        <v>28</v>
      </c>
      <c r="D21" t="s">
        <v>9</v>
      </c>
      <c r="E21">
        <v>0.6428571428571429</v>
      </c>
      <c r="F21">
        <v>0.93723386526107788</v>
      </c>
      <c r="G21">
        <v>-1.107177138328552</v>
      </c>
    </row>
    <row r="22" spans="1:7">
      <c r="A22">
        <v>21</v>
      </c>
      <c r="B22" t="s">
        <v>7</v>
      </c>
      <c r="C22" t="s">
        <v>29</v>
      </c>
      <c r="D22" t="s">
        <v>9</v>
      </c>
      <c r="E22">
        <v>0.51428571428571435</v>
      </c>
      <c r="F22">
        <v>0.92114293575286865</v>
      </c>
      <c r="G22">
        <v>-1.163429737091064</v>
      </c>
    </row>
    <row r="23" spans="1:7">
      <c r="A23">
        <v>22</v>
      </c>
      <c r="B23" t="s">
        <v>7</v>
      </c>
      <c r="C23" t="s">
        <v>24</v>
      </c>
      <c r="D23" t="s">
        <v>9</v>
      </c>
      <c r="E23">
        <v>0.86956521739130443</v>
      </c>
      <c r="F23">
        <v>0.94687706232070923</v>
      </c>
      <c r="G23">
        <v>-0.65977257490158081</v>
      </c>
    </row>
    <row r="24" spans="1:7">
      <c r="A24">
        <v>23</v>
      </c>
      <c r="B24" t="s">
        <v>7</v>
      </c>
      <c r="C24" t="s">
        <v>30</v>
      </c>
      <c r="D24" t="s">
        <v>9</v>
      </c>
      <c r="E24">
        <v>0.52941176470588247</v>
      </c>
      <c r="F24">
        <v>0.92806118726730347</v>
      </c>
      <c r="G24">
        <v>-1.002484798431396</v>
      </c>
    </row>
    <row r="25" spans="1:7">
      <c r="A25">
        <v>24</v>
      </c>
      <c r="B25" t="s">
        <v>7</v>
      </c>
      <c r="C25" t="s">
        <v>31</v>
      </c>
      <c r="D25" t="s">
        <v>9</v>
      </c>
      <c r="E25">
        <v>0.62068965517241381</v>
      </c>
      <c r="F25">
        <v>0.92635005712509155</v>
      </c>
      <c r="G25">
        <v>-1.165269255638123</v>
      </c>
    </row>
    <row r="26" spans="1:7">
      <c r="A26">
        <v>25</v>
      </c>
      <c r="B26" t="s">
        <v>7</v>
      </c>
      <c r="C26" t="s">
        <v>32</v>
      </c>
      <c r="D26" t="s">
        <v>9</v>
      </c>
      <c r="E26">
        <v>0.55555555555555558</v>
      </c>
      <c r="F26">
        <v>0.92301690578460693</v>
      </c>
      <c r="G26">
        <v>-0.8964463472366333</v>
      </c>
    </row>
    <row r="27" spans="1:7">
      <c r="A27">
        <v>26</v>
      </c>
      <c r="B27" t="s">
        <v>7</v>
      </c>
      <c r="C27" t="s">
        <v>33</v>
      </c>
      <c r="D27" t="s">
        <v>9</v>
      </c>
      <c r="E27">
        <v>0.66666666666666674</v>
      </c>
      <c r="F27">
        <v>0.93143856525421143</v>
      </c>
      <c r="G27">
        <v>-0.97181046009063721</v>
      </c>
    </row>
    <row r="28" spans="1:7">
      <c r="A28">
        <v>27</v>
      </c>
      <c r="B28" t="s">
        <v>7</v>
      </c>
      <c r="C28" t="s">
        <v>34</v>
      </c>
      <c r="D28" t="s">
        <v>9</v>
      </c>
      <c r="E28">
        <v>0.7142857142857143</v>
      </c>
      <c r="F28">
        <v>0.92208689451217651</v>
      </c>
      <c r="G28">
        <v>-0.87990474700927734</v>
      </c>
    </row>
    <row r="29" spans="1:7">
      <c r="A29">
        <v>28</v>
      </c>
      <c r="B29" t="s">
        <v>7</v>
      </c>
      <c r="C29" t="s">
        <v>35</v>
      </c>
      <c r="D29" t="s">
        <v>9</v>
      </c>
      <c r="E29">
        <v>0.5</v>
      </c>
      <c r="F29">
        <v>0.91595494747161865</v>
      </c>
      <c r="G29">
        <v>-1.070418119430542</v>
      </c>
    </row>
    <row r="30" spans="1:7">
      <c r="A30">
        <v>29</v>
      </c>
      <c r="B30" t="s">
        <v>7</v>
      </c>
      <c r="C30" t="s">
        <v>36</v>
      </c>
      <c r="D30" t="s">
        <v>9</v>
      </c>
      <c r="E30">
        <v>0.6428571428571429</v>
      </c>
      <c r="F30">
        <v>0.91748446226119995</v>
      </c>
      <c r="G30">
        <v>-1.598721027374268</v>
      </c>
    </row>
    <row r="31" spans="1:7">
      <c r="A31">
        <v>30</v>
      </c>
      <c r="B31" t="s">
        <v>7</v>
      </c>
      <c r="C31" t="s">
        <v>37</v>
      </c>
      <c r="D31" t="s">
        <v>9</v>
      </c>
      <c r="E31">
        <v>0.68965517241379315</v>
      </c>
      <c r="F31">
        <v>0.93351554870605469</v>
      </c>
      <c r="G31">
        <v>-0.88346773386001587</v>
      </c>
    </row>
    <row r="33" spans="4:7">
      <c r="D33" t="s">
        <v>38</v>
      </c>
      <c r="E33">
        <f>AVERAGE(E2:E31)</f>
        <v>0.66918182910510293</v>
      </c>
      <c r="F33">
        <f t="shared" ref="F33:G33" si="0">AVERAGE(F2:F31)</f>
        <v>0.93333017230033877</v>
      </c>
      <c r="G33">
        <f t="shared" si="0"/>
        <v>-0.90185825526714325</v>
      </c>
    </row>
    <row r="34" spans="4:7">
      <c r="D34" t="s">
        <v>39</v>
      </c>
      <c r="E34">
        <f>STDEV(E2:E31)</f>
        <v>0.13091507071380049</v>
      </c>
      <c r="F34">
        <f t="shared" ref="F34:G34" si="1">STDEV(F2:F31)</f>
        <v>1.6666598641535506E-2</v>
      </c>
      <c r="G34">
        <f t="shared" si="1"/>
        <v>0.26868704971372059</v>
      </c>
    </row>
    <row r="35" spans="4:7">
      <c r="D35" t="s">
        <v>40</v>
      </c>
      <c r="E35">
        <f>MIN(E2:E31)</f>
        <v>0.47368421052631582</v>
      </c>
      <c r="F35">
        <f t="shared" ref="F35:G35" si="2">MIN(F2:F31)</f>
        <v>0.90168499946594238</v>
      </c>
      <c r="G35">
        <f t="shared" si="2"/>
        <v>-1.598721027374268</v>
      </c>
    </row>
    <row r="36" spans="4:7">
      <c r="D36" t="s">
        <v>41</v>
      </c>
      <c r="E36">
        <f>MAX(E2:E31)</f>
        <v>0.95238095238095233</v>
      </c>
      <c r="F36">
        <f t="shared" ref="F36:G36" si="3">MAX(F2:F31)</f>
        <v>0.98702198266983032</v>
      </c>
      <c r="G36">
        <f t="shared" si="3"/>
        <v>-0.46569725871086121</v>
      </c>
    </row>
    <row r="37" spans="4:7">
      <c r="D37" t="s">
        <v>42</v>
      </c>
      <c r="E37">
        <f>MEDIAN(E2:E31)</f>
        <v>0.65476190476190488</v>
      </c>
      <c r="F37">
        <f t="shared" ref="F37:G37" si="4">MEDIAN(F2:F31)</f>
        <v>0.93020841479301453</v>
      </c>
      <c r="G37">
        <f t="shared" si="4"/>
        <v>-0.88995704054832458</v>
      </c>
    </row>
    <row r="39" spans="4:7">
      <c r="D39" t="s">
        <v>43</v>
      </c>
      <c r="E39" s="2">
        <f>COUNT(E2:E31)</f>
        <v>30</v>
      </c>
      <c r="F39" s="2">
        <f t="shared" ref="F39:G39" si="5">COUNT(F2:F31)</f>
        <v>30</v>
      </c>
      <c r="G39" s="2">
        <f t="shared" si="5"/>
        <v>30</v>
      </c>
    </row>
    <row r="40" spans="4:7">
      <c r="D40" t="s">
        <v>44</v>
      </c>
      <c r="E40">
        <f>SKEW(E2:E31)</f>
        <v>0.36763723157700839</v>
      </c>
      <c r="F40">
        <f t="shared" ref="F40:G40" si="6">SKEW(F2:F31)</f>
        <v>1.1943329890203183</v>
      </c>
      <c r="G40">
        <f t="shared" si="6"/>
        <v>-0.50903240686561069</v>
      </c>
    </row>
    <row r="41" spans="4:7">
      <c r="D41" t="s">
        <v>45</v>
      </c>
      <c r="E41">
        <f>KURT(E2:E31)</f>
        <v>-0.86026888005099567</v>
      </c>
      <c r="F41">
        <f t="shared" ref="F41:G41" si="7">KURT(F2:F31)</f>
        <v>2.7424520990663104</v>
      </c>
      <c r="G41">
        <f t="shared" si="7"/>
        <v>-2.6256213909840564E-2</v>
      </c>
    </row>
    <row r="42" spans="4:7">
      <c r="D42" t="s">
        <v>46</v>
      </c>
      <c r="E42">
        <f>(COUNT(E2:E31)/6) * (SKEW(E2:E31)^2 + (KURT(A1:A30)^2/4))</f>
        <v>2.4757856702080376</v>
      </c>
      <c r="F42">
        <f>(COUNT(F2:F31)/6) * (SKEW(F2:F31)^2 + (KURT(F2:F31)^2/4))</f>
        <v>16.533460837902552</v>
      </c>
      <c r="G42">
        <f>(COUNT(G2:G31)/6) * (SKEW(G2:G31)^2 + (KURT(G2:G31)^2/4))</f>
        <v>1.2964316921580821</v>
      </c>
    </row>
    <row r="43" spans="4:7">
      <c r="D43" t="s">
        <v>47</v>
      </c>
      <c r="E43">
        <f>_xlfn.CHISQ.DIST.RT(E42, 2)</f>
        <v>0.28999464110981749</v>
      </c>
      <c r="F43">
        <f t="shared" ref="F43:G43" si="8">_xlfn.CHISQ.DIST.RT(F42, 2)</f>
        <v>2.5692395316169833E-4</v>
      </c>
      <c r="G43">
        <f t="shared" si="8"/>
        <v>0.52297801816432887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KEITH LAYCOCK NARAYAN</cp:lastModifiedBy>
  <dcterms:created xsi:type="dcterms:W3CDTF">2026-01-17T00:50:07Z</dcterms:created>
  <dcterms:modified xsi:type="dcterms:W3CDTF">2026-01-17T15:04:21Z</dcterms:modified>
</cp:coreProperties>
</file>