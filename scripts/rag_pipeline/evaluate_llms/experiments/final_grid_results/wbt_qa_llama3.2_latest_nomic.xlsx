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rohan\ws\git\TFM\scripts\rag_pipeline\evaluate_llms\experiments\final_grid_results\"/>
    </mc:Choice>
  </mc:AlternateContent>
  <xr:revisionPtr revIDLastSave="0" documentId="13_ncr:1_{437BF467-B022-43B8-9AE3-C55F6E6DFFBB}"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7" i="1" l="1"/>
  <c r="T37" i="1"/>
  <c r="S37" i="1"/>
  <c r="U36" i="1"/>
  <c r="T36" i="1"/>
  <c r="S36" i="1"/>
  <c r="P37" i="1"/>
  <c r="O37" i="1"/>
  <c r="N37" i="1"/>
  <c r="P36" i="1"/>
  <c r="O36" i="1"/>
  <c r="N36" i="1"/>
  <c r="U29" i="1"/>
  <c r="T29" i="1"/>
  <c r="S29" i="1"/>
  <c r="U28" i="1"/>
  <c r="T28" i="1"/>
  <c r="S28" i="1"/>
  <c r="P29" i="1"/>
  <c r="O29" i="1"/>
  <c r="N29" i="1"/>
  <c r="P28" i="1"/>
  <c r="O28" i="1"/>
  <c r="N28" i="1"/>
  <c r="U20" i="1"/>
  <c r="T20" i="1"/>
  <c r="S20" i="1"/>
  <c r="U19" i="1"/>
  <c r="T19" i="1"/>
  <c r="S19" i="1"/>
  <c r="O19" i="1"/>
  <c r="P19" i="1"/>
  <c r="O20" i="1"/>
  <c r="P20" i="1"/>
  <c r="N20" i="1"/>
  <c r="N19" i="1"/>
</calcChain>
</file>

<file path=xl/sharedStrings.xml><?xml version="1.0" encoding="utf-8"?>
<sst xmlns="http://schemas.openxmlformats.org/spreadsheetml/2006/main" count="167" uniqueCount="41">
  <si>
    <t>question</t>
  </si>
  <si>
    <t>generated_answer</t>
  </si>
  <si>
    <t>ground_truth</t>
  </si>
  <si>
    <t>temp</t>
  </si>
  <si>
    <t>llm</t>
  </si>
  <si>
    <t>rag</t>
  </si>
  <si>
    <t>ROUGE-L</t>
  </si>
  <si>
    <t>BERTScore</t>
  </si>
  <si>
    <t>BARTScore</t>
  </si>
  <si>
    <t>context</t>
  </si>
  <si>
    <t>Who is referred to as the Fully-Enlightened One in the text?</t>
  </si>
  <si>
    <t>The Buddha, also known as the Arahant, is referred to as the Fully-Enlightened One. This title emphasizes his complete enlightenment and attainment of absolute wisdom.</t>
  </si>
  <si>
    <t>The Buddha is referred to as the Fully-Enlightened One.</t>
  </si>
  <si>
    <t>llama3.2:latest</t>
  </si>
  <si>
    <t>nomic</t>
  </si>
  <si>
    <t>_**Buddha,**_ Awakened One, Enlightened One.
_**Cetana,**_ volition.
_**Chanda,**_ will.
_**Citta,**_ mind.
_**Cittekaggata,**_ one-pointedness of mind.
**'Therefore, O bhikkhu, a person so endowed i</t>
  </si>
  <si>
    <t>What does the term bhikkhu mean?</t>
  </si>
  <si>
    <t>The term "bhikkhu" means 'mendicant' or 'one who begs food', originally referring to a person who lives by begging for food, but is now specifically used only of Buddhist monks in Theravada countries.</t>
  </si>
  <si>
    <t>Bhikkhu means mendicant or one who begs food.</t>
  </si>
  <si>
    <t xml:space="preserve">**used at times even for other ascetics indiscriminately, or the Buddha was not very**
**strict in the use of the term. Bhikkhu means 'mendicant' 'one who begs food', and**
**perhaps it was used here </t>
  </si>
  <si>
    <t>The Buddha is referred to as the Fully-Enlightened One, also known as the Arahant, who is now living in Savatthi. This title indicates that he has attained complete enlightenment and has reached a state of supreme spiritual realization.</t>
  </si>
  <si>
    <t>The term "bhikkhu" means 'mendicant' or 'one who begs food', originally referring to a person living unattached and observing the body, but today it specifically refers to Buddhist monks in Theravada countries.</t>
  </si>
  <si>
    <t>The Blessed One, the Arahant, is referred to as the Fully Enlightened One and is living in Savatthi. This person is the Buddha, who was asked if they recognized him if they saw him, but denied ever seeing him due to the profound nature of his awakening.</t>
  </si>
  <si>
    <t>The term "bhikkhu" means 'mendicant' or 'one who begs food', originally referring to a person living unattached and clinging to nothing in the world, observing physical sensations and feelings.</t>
  </si>
  <si>
    <t>The Buddha, Siddhartha Gautama, is commonly referred to as the Fully-Enlightened One due to his attainment of enlightenment under the Bodhi Tree. He is also known as the Dharma King or the Awakened One.</t>
  </si>
  <si>
    <t>None</t>
  </si>
  <si>
    <t>The term "bhikkhu" refers to a male Buddhist monk who has taken vows of celibacy and renunciation, typically living in monasteries or temples. It is derived from the Pali language and means "one who has gone forth" or "a wandering monk".</t>
  </si>
  <si>
    <t>The Buddha is often referred to as the "Fully Enlightened One" or the Awakened One, having achieved enlightenment and attained complete understanding of the nature of reality. He is the central figure of Buddhism and a key concept in its teachings.</t>
  </si>
  <si>
    <t>The term "bhikkhu" is a Pali word that refers to a male Buddhist monk who has taken the third refuges of the Buddha, Dhamma, and Sangha. It literally means "one who has gone forth" or "a wandering monk."</t>
  </si>
  <si>
    <t>Siddhartha Gautama, also known as Buddha, is commonly referred to as the "Fully-Enlightened One" due to his attainment of enlightenment under the Bodhi Tree. He is also known as the Buddha, which means "the enlightened one."</t>
  </si>
  <si>
    <t>A bhikkhu is a male Buddhist monastic who follows the Theravada tradition, typically wearing brown robes and dedicating his life to spiritual practice. In this context, "bhikkhu" specifically refers to a male monk in the traditional Buddhist order.</t>
  </si>
  <si>
    <t>The Fully-Enlightened One referred to in the text is Gotama, a Sakyan scion who left his family to become a recluse and is now living in Savatthi. He is also known as the Blessed One, Arahant, and the Teacher of gods and men.</t>
  </si>
  <si>
    <t>bge</t>
  </si>
  <si>
    <t>6
**Savatthi. It is there that that Blessed One, the Arahant, the Fully-**
**Enlightened One, is now living.'**
**'Have you ever seen him, that Blessed One ? Would you recog-**
**nize him if you sa</t>
  </si>
  <si>
    <t>The term "bhikkhu" means 'mendicant', or 'one who begs food'. It is used specifically to refer to Buddhist monks, especially in Theravada countries.</t>
  </si>
  <si>
    <t>The person referred to as the Fully-Enlightened One is Gotama, a Sakyan scion who left his family to become a recluse and is considered an Arahant. He is also known as the Blessed One and the Teacher of gods and men.</t>
  </si>
  <si>
    <t>The term "bhikkhu" means "mendicant" or "one who begs food", and is used to describe a Buddhist monk.</t>
  </si>
  <si>
    <t>The one referred to as the Fully-Enlightened One (Arahant) is Gotama, a Sakyan scion, also known as the Blessed One.</t>
  </si>
  <si>
    <t>The term "bhikkhu" means 'mendicant', 'one who begs food', and is typically used only to describe Buddhist monks in Theravada countries.</t>
  </si>
  <si>
    <t>mean</t>
  </si>
  <si>
    <t>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</si>
</sst>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Iskoola Pota"/>
      <family val="2"/>
      <scheme val="minor"/>
    </font>
    <font>
      <b/>
      <sz val="11"/>
      <name val="Iskoola Pota"/>
    </font>
  </fonts>
  <fills count="2">
    <fill>
      <patternFill patternType="none"/>
    </fill>
    <fill>
      <patternFill patternType="gray125"/>
    </fill>
  </fills>
  <borders count="16">
    <border>
      <left/>
      <right/>
      <top/>
      <bottom/>
      <diagonal/>
    </border>
    <border>
      <left style="thin">
        <color auto="1"/>
      </left>
      <right style="thin">
        <color auto="1"/>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24">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2" xfId="0" applyBorder="1"/>
    <xf numFmtId="0" fontId="0" fillId="0" borderId="3" xfId="0" applyBorder="1"/>
    <xf numFmtId="0" fontId="0" fillId="0" borderId="4" xfId="0" applyBorder="1" applyAlignment="1">
      <alignment wrapText="1"/>
    </xf>
    <xf numFmtId="0" fontId="0" fillId="0" borderId="5" xfId="0" applyBorder="1"/>
    <xf numFmtId="0" fontId="0" fillId="0" borderId="0" xfId="0" applyBorder="1"/>
    <xf numFmtId="0" fontId="0" fillId="0" borderId="6" xfId="0" applyBorder="1" applyAlignment="1">
      <alignment wrapText="1"/>
    </xf>
    <xf numFmtId="0" fontId="0" fillId="0" borderId="7" xfId="0" applyBorder="1"/>
    <xf numFmtId="0" fontId="0" fillId="0" borderId="8" xfId="0" applyBorder="1"/>
    <xf numFmtId="0" fontId="0" fillId="0" borderId="9" xfId="0" applyBorder="1" applyAlignment="1">
      <alignment wrapText="1"/>
    </xf>
    <xf numFmtId="0" fontId="0" fillId="0" borderId="4" xfId="0" applyBorder="1"/>
    <xf numFmtId="0" fontId="0" fillId="0" borderId="6" xfId="0" applyBorder="1"/>
    <xf numFmtId="0" fontId="0" fillId="0" borderId="9" xfId="0"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xf numFmtId="0" fontId="0" fillId="0" borderId="14" xfId="0" applyBorder="1"/>
    <xf numFmtId="0" fontId="1" fillId="0" borderId="13" xfId="0" applyFont="1" applyBorder="1" applyAlignment="1">
      <alignment horizontal="center" vertical="top"/>
    </xf>
    <xf numFmtId="0" fontId="0" fillId="0" borderId="15" xfId="0" applyBorder="1"/>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7"/>
  <sheetViews>
    <sheetView tabSelected="1" topLeftCell="A9" zoomScaleNormal="100" workbookViewId="0">
      <selection activeCell="X32" sqref="X32"/>
    </sheetView>
  </sheetViews>
  <sheetFormatPr defaultRowHeight="14.5" customHeight="1" x14ac:dyDescent="0.3"/>
  <cols>
    <col min="10" max="10" width="8.7265625" style="1"/>
  </cols>
  <sheetData>
    <row r="1" spans="1:22" ht="14.5" customHeight="1" thickBot="1" x14ac:dyDescent="0.35">
      <c r="A1" s="2" t="s">
        <v>0</v>
      </c>
      <c r="B1" s="2" t="s">
        <v>1</v>
      </c>
      <c r="C1" s="2" t="s">
        <v>2</v>
      </c>
      <c r="D1" s="2" t="s">
        <v>3</v>
      </c>
      <c r="E1" s="2" t="s">
        <v>4</v>
      </c>
      <c r="F1" s="2" t="s">
        <v>5</v>
      </c>
      <c r="G1" s="2" t="s">
        <v>6</v>
      </c>
      <c r="H1" s="2" t="s">
        <v>7</v>
      </c>
      <c r="I1" s="2" t="s">
        <v>8</v>
      </c>
      <c r="J1" s="3" t="s">
        <v>9</v>
      </c>
    </row>
    <row r="2" spans="1:22" ht="14.5" customHeight="1" x14ac:dyDescent="0.3">
      <c r="A2" s="4" t="s">
        <v>10</v>
      </c>
      <c r="B2" s="5" t="s">
        <v>24</v>
      </c>
      <c r="C2" s="5" t="s">
        <v>12</v>
      </c>
      <c r="D2" s="5">
        <v>0</v>
      </c>
      <c r="E2" s="5" t="s">
        <v>13</v>
      </c>
      <c r="F2" s="5" t="s">
        <v>25</v>
      </c>
      <c r="G2" s="5">
        <v>0.44444444444444448</v>
      </c>
      <c r="H2" s="5">
        <v>0.92203152179718018</v>
      </c>
      <c r="I2" s="5">
        <v>-0.90806841850280762</v>
      </c>
      <c r="J2" s="6"/>
    </row>
    <row r="3" spans="1:22" ht="14.5" customHeight="1" thickBot="1" x14ac:dyDescent="0.35">
      <c r="A3" s="7" t="s">
        <v>16</v>
      </c>
      <c r="B3" s="8" t="s">
        <v>26</v>
      </c>
      <c r="C3" s="8" t="s">
        <v>18</v>
      </c>
      <c r="D3" s="8">
        <v>0</v>
      </c>
      <c r="E3" s="8" t="s">
        <v>13</v>
      </c>
      <c r="F3" s="8" t="s">
        <v>25</v>
      </c>
      <c r="G3" s="8">
        <v>0.16326530612244899</v>
      </c>
      <c r="H3" s="8">
        <v>0.8636394739151001</v>
      </c>
      <c r="I3" s="8">
        <v>-2.8770649433135991</v>
      </c>
      <c r="J3" s="9"/>
    </row>
    <row r="4" spans="1:22" ht="14.5" customHeight="1" x14ac:dyDescent="0.3">
      <c r="A4" s="7" t="s">
        <v>10</v>
      </c>
      <c r="B4" s="8" t="s">
        <v>27</v>
      </c>
      <c r="C4" s="8" t="s">
        <v>12</v>
      </c>
      <c r="D4" s="8">
        <v>0.5</v>
      </c>
      <c r="E4" s="8" t="s">
        <v>13</v>
      </c>
      <c r="F4" s="8" t="s">
        <v>25</v>
      </c>
      <c r="G4" s="8">
        <v>0.39215686274509798</v>
      </c>
      <c r="H4" s="8">
        <v>0.91532200574874878</v>
      </c>
      <c r="I4" s="8">
        <v>-1.470527648925781</v>
      </c>
      <c r="J4" s="9"/>
      <c r="N4" s="5" t="s">
        <v>25</v>
      </c>
      <c r="Q4" s="5" t="s">
        <v>14</v>
      </c>
      <c r="T4" s="5" t="s">
        <v>32</v>
      </c>
    </row>
    <row r="5" spans="1:22" ht="14.5" customHeight="1" thickBot="1" x14ac:dyDescent="0.35">
      <c r="A5" s="7" t="s">
        <v>16</v>
      </c>
      <c r="B5" s="8" t="s">
        <v>28</v>
      </c>
      <c r="C5" s="8" t="s">
        <v>18</v>
      </c>
      <c r="D5" s="8">
        <v>0.5</v>
      </c>
      <c r="E5" s="8" t="s">
        <v>13</v>
      </c>
      <c r="F5" s="8" t="s">
        <v>25</v>
      </c>
      <c r="G5" s="8">
        <v>0.17391304347826089</v>
      </c>
      <c r="H5" s="8">
        <v>0.86028093099594116</v>
      </c>
      <c r="I5" s="8">
        <v>-2.7386655807495122</v>
      </c>
      <c r="J5" s="9"/>
      <c r="M5" s="2" t="s">
        <v>3</v>
      </c>
      <c r="N5" t="s">
        <v>6</v>
      </c>
      <c r="O5" t="s">
        <v>7</v>
      </c>
      <c r="P5" t="s">
        <v>8</v>
      </c>
      <c r="Q5" t="s">
        <v>6</v>
      </c>
      <c r="R5" t="s">
        <v>7</v>
      </c>
      <c r="S5" t="s">
        <v>8</v>
      </c>
      <c r="T5" t="s">
        <v>6</v>
      </c>
      <c r="U5" t="s">
        <v>7</v>
      </c>
      <c r="V5" t="s">
        <v>8</v>
      </c>
    </row>
    <row r="6" spans="1:22" ht="14.5" customHeight="1" x14ac:dyDescent="0.3">
      <c r="A6" s="7" t="s">
        <v>10</v>
      </c>
      <c r="B6" s="8" t="s">
        <v>29</v>
      </c>
      <c r="C6" s="8" t="s">
        <v>12</v>
      </c>
      <c r="D6" s="8">
        <v>1</v>
      </c>
      <c r="E6" s="8" t="s">
        <v>13</v>
      </c>
      <c r="F6" s="8" t="s">
        <v>25</v>
      </c>
      <c r="G6" s="8">
        <v>0.38297872340425532</v>
      </c>
      <c r="H6" s="8">
        <v>0.89875859022140503</v>
      </c>
      <c r="I6" s="8">
        <v>-1.2310763597488401</v>
      </c>
      <c r="J6" s="9"/>
      <c r="M6" s="5">
        <v>0</v>
      </c>
      <c r="N6">
        <v>0.44444444444444448</v>
      </c>
      <c r="O6">
        <v>0.92203152179718018</v>
      </c>
      <c r="P6">
        <v>-0.90806841850280762</v>
      </c>
      <c r="Q6" s="5">
        <v>0.55555555555555558</v>
      </c>
      <c r="R6" s="5">
        <v>0.93643057346343994</v>
      </c>
      <c r="S6" s="5">
        <v>-0.54871934652328491</v>
      </c>
      <c r="T6" s="5">
        <v>0.22222222222222221</v>
      </c>
      <c r="U6" s="5">
        <v>0.88596904277801514</v>
      </c>
      <c r="V6" s="5">
        <v>-1.2959855794906621</v>
      </c>
    </row>
    <row r="7" spans="1:22" ht="14.5" customHeight="1" thickBot="1" x14ac:dyDescent="0.35">
      <c r="A7" s="10" t="s">
        <v>16</v>
      </c>
      <c r="B7" s="11" t="s">
        <v>30</v>
      </c>
      <c r="C7" s="11" t="s">
        <v>18</v>
      </c>
      <c r="D7" s="11">
        <v>1</v>
      </c>
      <c r="E7" s="11" t="s">
        <v>13</v>
      </c>
      <c r="F7" s="11" t="s">
        <v>25</v>
      </c>
      <c r="G7" s="11">
        <v>8.6956521739130432E-2</v>
      </c>
      <c r="H7" s="11">
        <v>0.85034191608428955</v>
      </c>
      <c r="I7" s="11">
        <v>-3.371492862701416</v>
      </c>
      <c r="J7" s="12"/>
      <c r="M7" s="8">
        <v>0</v>
      </c>
      <c r="N7">
        <v>0.16326530612244899</v>
      </c>
      <c r="O7">
        <v>0.8636394739151001</v>
      </c>
      <c r="P7">
        <v>-2.8770649433135991</v>
      </c>
      <c r="Q7" s="8">
        <v>0.3902439024390244</v>
      </c>
      <c r="R7" s="8">
        <v>0.89271241426467896</v>
      </c>
      <c r="S7" s="8">
        <v>-1.191626191139221</v>
      </c>
      <c r="T7" s="8">
        <v>0.5161290322580645</v>
      </c>
      <c r="U7" s="8">
        <v>0.8965039849281311</v>
      </c>
      <c r="V7" s="8">
        <v>-1.136000871658325</v>
      </c>
    </row>
    <row r="8" spans="1:22" ht="14.5" customHeight="1" x14ac:dyDescent="0.3">
      <c r="A8" s="4" t="s">
        <v>10</v>
      </c>
      <c r="B8" s="5" t="s">
        <v>11</v>
      </c>
      <c r="C8" s="5" t="s">
        <v>12</v>
      </c>
      <c r="D8" s="5">
        <v>0</v>
      </c>
      <c r="E8" s="5" t="s">
        <v>13</v>
      </c>
      <c r="F8" s="5" t="s">
        <v>14</v>
      </c>
      <c r="G8" s="5">
        <v>0.55555555555555558</v>
      </c>
      <c r="H8" s="5">
        <v>0.93643057346343994</v>
      </c>
      <c r="I8" s="5">
        <v>-0.54871934652328491</v>
      </c>
      <c r="J8" s="6" t="s">
        <v>15</v>
      </c>
      <c r="M8" s="8">
        <v>0.5</v>
      </c>
      <c r="N8">
        <v>0.39215686274509798</v>
      </c>
      <c r="O8">
        <v>0.91532200574874878</v>
      </c>
      <c r="P8">
        <v>-1.470527648925781</v>
      </c>
      <c r="Q8" s="8">
        <v>0.4081632653061224</v>
      </c>
      <c r="R8" s="8">
        <v>0.91782993078231812</v>
      </c>
      <c r="S8" s="8">
        <v>-0.60091352462768555</v>
      </c>
      <c r="T8" s="8">
        <v>0.30769230769230771</v>
      </c>
      <c r="U8" s="8">
        <v>0.90195071697235107</v>
      </c>
      <c r="V8" s="8">
        <v>-1.2923175096511841</v>
      </c>
    </row>
    <row r="9" spans="1:22" ht="14.5" customHeight="1" x14ac:dyDescent="0.3">
      <c r="A9" s="7" t="s">
        <v>16</v>
      </c>
      <c r="B9" s="8" t="s">
        <v>17</v>
      </c>
      <c r="C9" s="8" t="s">
        <v>18</v>
      </c>
      <c r="D9" s="8">
        <v>0</v>
      </c>
      <c r="E9" s="8" t="s">
        <v>13</v>
      </c>
      <c r="F9" s="8" t="s">
        <v>14</v>
      </c>
      <c r="G9" s="8">
        <v>0.3902439024390244</v>
      </c>
      <c r="H9" s="8">
        <v>0.89271241426467896</v>
      </c>
      <c r="I9" s="8">
        <v>-1.191626191139221</v>
      </c>
      <c r="J9" s="9" t="s">
        <v>19</v>
      </c>
      <c r="M9" s="8">
        <v>0.5</v>
      </c>
      <c r="N9">
        <v>0.17391304347826089</v>
      </c>
      <c r="O9">
        <v>0.86028093099594116</v>
      </c>
      <c r="P9">
        <v>-2.7386655807495122</v>
      </c>
      <c r="Q9" s="8">
        <v>0.4</v>
      </c>
      <c r="R9" s="8">
        <v>0.88805198669433594</v>
      </c>
      <c r="S9" s="8">
        <v>-1.181221127510071</v>
      </c>
      <c r="T9" s="8">
        <v>0.61538461538461531</v>
      </c>
      <c r="U9" s="8">
        <v>0.90604883432388306</v>
      </c>
      <c r="V9" s="8">
        <v>-1.011053204536438</v>
      </c>
    </row>
    <row r="10" spans="1:22" ht="14.5" customHeight="1" x14ac:dyDescent="0.3">
      <c r="A10" s="7" t="s">
        <v>10</v>
      </c>
      <c r="B10" s="8" t="s">
        <v>20</v>
      </c>
      <c r="C10" s="8" t="s">
        <v>12</v>
      </c>
      <c r="D10" s="8">
        <v>0.5</v>
      </c>
      <c r="E10" s="8" t="s">
        <v>13</v>
      </c>
      <c r="F10" s="8" t="s">
        <v>14</v>
      </c>
      <c r="G10" s="8">
        <v>0.4081632653061224</v>
      </c>
      <c r="H10" s="8">
        <v>0.91782993078231812</v>
      </c>
      <c r="I10" s="8">
        <v>-0.60091352462768555</v>
      </c>
      <c r="J10" s="9" t="s">
        <v>15</v>
      </c>
      <c r="M10" s="8">
        <v>1</v>
      </c>
      <c r="N10">
        <v>0.38297872340425532</v>
      </c>
      <c r="O10">
        <v>0.89875859022140503</v>
      </c>
      <c r="P10">
        <v>-1.2310763597488401</v>
      </c>
      <c r="Q10" s="8">
        <v>0.31578947368421051</v>
      </c>
      <c r="R10" s="8">
        <v>0.8985288143157959</v>
      </c>
      <c r="S10" s="8">
        <v>-1.201697111129761</v>
      </c>
      <c r="T10" s="8">
        <v>0.5161290322580645</v>
      </c>
      <c r="U10" s="8">
        <v>0.91246169805526733</v>
      </c>
      <c r="V10" s="8">
        <v>-1.288291454315186</v>
      </c>
    </row>
    <row r="11" spans="1:22" ht="14.5" customHeight="1" thickBot="1" x14ac:dyDescent="0.35">
      <c r="A11" s="7" t="s">
        <v>16</v>
      </c>
      <c r="B11" s="8" t="s">
        <v>21</v>
      </c>
      <c r="C11" s="8" t="s">
        <v>18</v>
      </c>
      <c r="D11" s="8">
        <v>0.5</v>
      </c>
      <c r="E11" s="8" t="s">
        <v>13</v>
      </c>
      <c r="F11" s="8" t="s">
        <v>14</v>
      </c>
      <c r="G11" s="8">
        <v>0.4</v>
      </c>
      <c r="H11" s="8">
        <v>0.88805198669433594</v>
      </c>
      <c r="I11" s="8">
        <v>-1.181221127510071</v>
      </c>
      <c r="J11" s="9" t="s">
        <v>19</v>
      </c>
      <c r="M11" s="11">
        <v>1</v>
      </c>
      <c r="N11">
        <v>8.6956521739130432E-2</v>
      </c>
      <c r="O11">
        <v>0.85034191608428955</v>
      </c>
      <c r="P11">
        <v>-3.371492862701416</v>
      </c>
      <c r="Q11" s="11">
        <v>0.4324324324324324</v>
      </c>
      <c r="R11" s="11">
        <v>0.89278918504714966</v>
      </c>
      <c r="S11" s="11">
        <v>-1.095947265625</v>
      </c>
      <c r="T11" s="11">
        <v>0.48275862068965508</v>
      </c>
      <c r="U11" s="11">
        <v>0.89113295078277588</v>
      </c>
      <c r="V11" s="11">
        <v>-1.1254979372024541</v>
      </c>
    </row>
    <row r="12" spans="1:22" ht="14.5" customHeight="1" x14ac:dyDescent="0.3">
      <c r="A12" s="7" t="s">
        <v>10</v>
      </c>
      <c r="B12" s="8" t="s">
        <v>22</v>
      </c>
      <c r="C12" s="8" t="s">
        <v>12</v>
      </c>
      <c r="D12" s="8">
        <v>1</v>
      </c>
      <c r="E12" s="8" t="s">
        <v>13</v>
      </c>
      <c r="F12" s="8" t="s">
        <v>14</v>
      </c>
      <c r="G12" s="8">
        <v>0.31578947368421051</v>
      </c>
      <c r="H12" s="8">
        <v>0.8985288143157959</v>
      </c>
      <c r="I12" s="8">
        <v>-1.201697111129761</v>
      </c>
      <c r="J12" s="9" t="s">
        <v>15</v>
      </c>
    </row>
    <row r="13" spans="1:22" ht="14.5" customHeight="1" thickBot="1" x14ac:dyDescent="0.35">
      <c r="A13" s="10" t="s">
        <v>16</v>
      </c>
      <c r="B13" s="11" t="s">
        <v>23</v>
      </c>
      <c r="C13" s="11" t="s">
        <v>18</v>
      </c>
      <c r="D13" s="11">
        <v>1</v>
      </c>
      <c r="E13" s="11" t="s">
        <v>13</v>
      </c>
      <c r="F13" s="11" t="s">
        <v>14</v>
      </c>
      <c r="G13" s="11">
        <v>0.4324324324324324</v>
      </c>
      <c r="H13" s="11">
        <v>0.89278918504714966</v>
      </c>
      <c r="I13" s="11">
        <v>-1.095947265625</v>
      </c>
      <c r="J13" s="12" t="s">
        <v>19</v>
      </c>
    </row>
    <row r="14" spans="1:22" ht="14.5" customHeight="1" thickBot="1" x14ac:dyDescent="0.35">
      <c r="A14" s="4" t="s">
        <v>10</v>
      </c>
      <c r="B14" s="5" t="s">
        <v>31</v>
      </c>
      <c r="C14" s="5" t="s">
        <v>12</v>
      </c>
      <c r="D14" s="5">
        <v>0</v>
      </c>
      <c r="E14" s="5" t="s">
        <v>13</v>
      </c>
      <c r="F14" s="5" t="s">
        <v>32</v>
      </c>
      <c r="G14" s="5">
        <v>0.22222222222222221</v>
      </c>
      <c r="H14" s="5">
        <v>0.88596904277801514</v>
      </c>
      <c r="I14" s="5">
        <v>-1.2959855794906621</v>
      </c>
      <c r="J14" s="6" t="s">
        <v>33</v>
      </c>
      <c r="N14" s="16" t="s">
        <v>6</v>
      </c>
      <c r="O14" s="17"/>
      <c r="P14" s="18"/>
      <c r="S14" s="16" t="s">
        <v>6</v>
      </c>
      <c r="T14" s="17"/>
      <c r="U14" s="18"/>
    </row>
    <row r="15" spans="1:22" ht="14.5" customHeight="1" thickBot="1" x14ac:dyDescent="0.35">
      <c r="A15" s="7" t="s">
        <v>16</v>
      </c>
      <c r="B15" s="8" t="s">
        <v>34</v>
      </c>
      <c r="C15" s="8" t="s">
        <v>18</v>
      </c>
      <c r="D15" s="8">
        <v>0</v>
      </c>
      <c r="E15" s="8" t="s">
        <v>13</v>
      </c>
      <c r="F15" s="8" t="s">
        <v>32</v>
      </c>
      <c r="G15" s="8">
        <v>0.5161290322580645</v>
      </c>
      <c r="H15" s="8">
        <v>0.8965039849281311</v>
      </c>
      <c r="I15" s="8">
        <v>-1.136000871658325</v>
      </c>
      <c r="J15" s="9" t="s">
        <v>19</v>
      </c>
      <c r="M15" s="21" t="s">
        <v>3</v>
      </c>
      <c r="N15" s="4" t="s">
        <v>25</v>
      </c>
      <c r="O15" s="5" t="s">
        <v>14</v>
      </c>
      <c r="P15" s="13" t="s">
        <v>32</v>
      </c>
      <c r="R15" s="21" t="s">
        <v>3</v>
      </c>
      <c r="S15" s="4" t="s">
        <v>25</v>
      </c>
      <c r="T15" s="5" t="s">
        <v>14</v>
      </c>
      <c r="U15" s="13" t="s">
        <v>32</v>
      </c>
    </row>
    <row r="16" spans="1:22" ht="14.5" customHeight="1" x14ac:dyDescent="0.3">
      <c r="A16" s="7" t="s">
        <v>10</v>
      </c>
      <c r="B16" s="8" t="s">
        <v>35</v>
      </c>
      <c r="C16" s="8" t="s">
        <v>12</v>
      </c>
      <c r="D16" s="8">
        <v>0.5</v>
      </c>
      <c r="E16" s="8" t="s">
        <v>13</v>
      </c>
      <c r="F16" s="8" t="s">
        <v>32</v>
      </c>
      <c r="G16" s="8">
        <v>0.30769230769230771</v>
      </c>
      <c r="H16" s="8">
        <v>0.90195071697235107</v>
      </c>
      <c r="I16" s="8">
        <v>-1.2923175096511841</v>
      </c>
      <c r="J16" s="9" t="s">
        <v>33</v>
      </c>
      <c r="M16" s="19">
        <v>0</v>
      </c>
      <c r="N16" s="4">
        <v>0.44444444444444448</v>
      </c>
      <c r="O16" s="5">
        <v>0.55555555555555558</v>
      </c>
      <c r="P16" s="13">
        <v>0.22222222222222221</v>
      </c>
      <c r="R16" s="19">
        <v>0</v>
      </c>
      <c r="S16" s="4">
        <v>0.16326530612244899</v>
      </c>
      <c r="T16" s="5">
        <v>0.3902439024390244</v>
      </c>
      <c r="U16" s="13">
        <v>0.5161290322580645</v>
      </c>
    </row>
    <row r="17" spans="1:21" ht="14.5" customHeight="1" x14ac:dyDescent="0.3">
      <c r="A17" s="7" t="s">
        <v>16</v>
      </c>
      <c r="B17" s="8" t="s">
        <v>36</v>
      </c>
      <c r="C17" s="8" t="s">
        <v>18</v>
      </c>
      <c r="D17" s="8">
        <v>0.5</v>
      </c>
      <c r="E17" s="8" t="s">
        <v>13</v>
      </c>
      <c r="F17" s="8" t="s">
        <v>32</v>
      </c>
      <c r="G17" s="8">
        <v>0.61538461538461531</v>
      </c>
      <c r="H17" s="8">
        <v>0.90604883432388306</v>
      </c>
      <c r="I17" s="8">
        <v>-1.011053204536438</v>
      </c>
      <c r="J17" s="9" t="s">
        <v>19</v>
      </c>
      <c r="M17" s="22">
        <v>0.5</v>
      </c>
      <c r="N17" s="7">
        <v>0.39215686274509798</v>
      </c>
      <c r="O17" s="8">
        <v>0.4081632653061224</v>
      </c>
      <c r="P17" s="14">
        <v>0.30769230769230771</v>
      </c>
      <c r="R17" s="22">
        <v>0.5</v>
      </c>
      <c r="S17" s="7">
        <v>0.17391304347826089</v>
      </c>
      <c r="T17" s="8">
        <v>0.4</v>
      </c>
      <c r="U17" s="14">
        <v>0.61538461538461531</v>
      </c>
    </row>
    <row r="18" spans="1:21" ht="14.5" customHeight="1" thickBot="1" x14ac:dyDescent="0.35">
      <c r="A18" s="7" t="s">
        <v>10</v>
      </c>
      <c r="B18" s="8" t="s">
        <v>37</v>
      </c>
      <c r="C18" s="8" t="s">
        <v>12</v>
      </c>
      <c r="D18" s="8">
        <v>1</v>
      </c>
      <c r="E18" s="8" t="s">
        <v>13</v>
      </c>
      <c r="F18" s="8" t="s">
        <v>32</v>
      </c>
      <c r="G18" s="8">
        <v>0.5161290322580645</v>
      </c>
      <c r="H18" s="8">
        <v>0.91246169805526733</v>
      </c>
      <c r="I18" s="8">
        <v>-1.288291454315186</v>
      </c>
      <c r="J18" s="9" t="s">
        <v>33</v>
      </c>
      <c r="M18" s="20">
        <v>1</v>
      </c>
      <c r="N18" s="10">
        <v>0.38297872340425532</v>
      </c>
      <c r="O18" s="11">
        <v>0.31578947368421051</v>
      </c>
      <c r="P18" s="15">
        <v>0.5161290322580645</v>
      </c>
      <c r="R18" s="20">
        <v>1</v>
      </c>
      <c r="S18" s="10">
        <v>8.6956521739130432E-2</v>
      </c>
      <c r="T18" s="11">
        <v>0.4324324324324324</v>
      </c>
      <c r="U18" s="15">
        <v>0.48275862068965508</v>
      </c>
    </row>
    <row r="19" spans="1:21" ht="14.5" customHeight="1" thickBot="1" x14ac:dyDescent="0.35">
      <c r="A19" s="10" t="s">
        <v>16</v>
      </c>
      <c r="B19" s="11" t="s">
        <v>38</v>
      </c>
      <c r="C19" s="11" t="s">
        <v>18</v>
      </c>
      <c r="D19" s="11">
        <v>1</v>
      </c>
      <c r="E19" s="11" t="s">
        <v>13</v>
      </c>
      <c r="F19" s="11" t="s">
        <v>32</v>
      </c>
      <c r="G19" s="11">
        <v>0.48275862068965508</v>
      </c>
      <c r="H19" s="11">
        <v>0.89113295078277588</v>
      </c>
      <c r="I19" s="11">
        <v>-1.1254979372024541</v>
      </c>
      <c r="J19" s="12" t="s">
        <v>19</v>
      </c>
      <c r="M19" s="19" t="s">
        <v>39</v>
      </c>
      <c r="N19" s="7">
        <f>AVERAGE(N16:N18)</f>
        <v>0.40652667686459926</v>
      </c>
      <c r="O19" s="8">
        <f t="shared" ref="O19:P19" si="0">AVERAGE(O16:O18)</f>
        <v>0.42650276484862948</v>
      </c>
      <c r="P19" s="14">
        <f t="shared" si="0"/>
        <v>0.34868118739086479</v>
      </c>
      <c r="R19" s="19" t="s">
        <v>39</v>
      </c>
      <c r="S19" s="7">
        <f>AVERAGE(S16:S18)</f>
        <v>0.14137829044661346</v>
      </c>
      <c r="T19" s="8">
        <f t="shared" ref="T19" si="1">AVERAGE(T16:T18)</f>
        <v>0.40755877829048565</v>
      </c>
      <c r="U19" s="14">
        <f t="shared" ref="U19" si="2">AVERAGE(U16:U18)</f>
        <v>0.53809075611077828</v>
      </c>
    </row>
    <row r="20" spans="1:21" ht="14.5" customHeight="1" thickBot="1" x14ac:dyDescent="0.35">
      <c r="M20" s="20" t="s">
        <v>40</v>
      </c>
      <c r="N20" s="10">
        <f>MEDIAN(N16:N18)</f>
        <v>0.39215686274509798</v>
      </c>
      <c r="O20" s="11">
        <f t="shared" ref="O20:P20" si="3">MEDIAN(O16:O18)</f>
        <v>0.4081632653061224</v>
      </c>
      <c r="P20" s="15">
        <f t="shared" si="3"/>
        <v>0.30769230769230771</v>
      </c>
      <c r="R20" s="20" t="s">
        <v>40</v>
      </c>
      <c r="S20" s="10">
        <f>MEDIAN(S16:S18)</f>
        <v>0.16326530612244899</v>
      </c>
      <c r="T20" s="11">
        <f t="shared" ref="T20:U20" si="4">MEDIAN(T16:T18)</f>
        <v>0.4</v>
      </c>
      <c r="U20" s="15">
        <f t="shared" si="4"/>
        <v>0.5161290322580645</v>
      </c>
    </row>
    <row r="22" spans="1:21" ht="14.5" customHeight="1" thickBot="1" x14ac:dyDescent="0.35"/>
    <row r="23" spans="1:21" ht="14.5" customHeight="1" thickBot="1" x14ac:dyDescent="0.35">
      <c r="N23" s="16" t="s">
        <v>7</v>
      </c>
      <c r="O23" s="17"/>
      <c r="P23" s="18"/>
      <c r="S23" s="16" t="s">
        <v>7</v>
      </c>
      <c r="T23" s="17"/>
      <c r="U23" s="18"/>
    </row>
    <row r="24" spans="1:21" ht="14.5" customHeight="1" thickBot="1" x14ac:dyDescent="0.35">
      <c r="M24" s="21" t="s">
        <v>3</v>
      </c>
      <c r="N24" s="4" t="s">
        <v>25</v>
      </c>
      <c r="O24" s="5" t="s">
        <v>14</v>
      </c>
      <c r="P24" s="13" t="s">
        <v>32</v>
      </c>
      <c r="R24" s="21" t="s">
        <v>3</v>
      </c>
      <c r="S24" s="4" t="s">
        <v>25</v>
      </c>
      <c r="T24" s="5" t="s">
        <v>14</v>
      </c>
      <c r="U24" s="13" t="s">
        <v>32</v>
      </c>
    </row>
    <row r="25" spans="1:21" ht="14.5" customHeight="1" x14ac:dyDescent="0.3">
      <c r="M25" s="19">
        <v>0</v>
      </c>
      <c r="N25" s="4">
        <v>0.92203152179718018</v>
      </c>
      <c r="O25" s="5">
        <v>0.93643057346343994</v>
      </c>
      <c r="P25" s="13">
        <v>0.88596904277801514</v>
      </c>
      <c r="R25" s="19">
        <v>0</v>
      </c>
      <c r="S25" s="4">
        <v>0.8636394739151001</v>
      </c>
      <c r="T25" s="5">
        <v>0.89271241426467896</v>
      </c>
      <c r="U25" s="13">
        <v>0.8965039849281311</v>
      </c>
    </row>
    <row r="26" spans="1:21" ht="14.5" customHeight="1" x14ac:dyDescent="0.3">
      <c r="M26" s="22">
        <v>0.5</v>
      </c>
      <c r="N26" s="7">
        <v>0.91532200574874878</v>
      </c>
      <c r="O26" s="8">
        <v>0.91782993078231812</v>
      </c>
      <c r="P26" s="14">
        <v>0.90195071697235107</v>
      </c>
      <c r="R26" s="22">
        <v>0.5</v>
      </c>
      <c r="S26" s="7">
        <v>0.86028093099594116</v>
      </c>
      <c r="T26" s="8">
        <v>0.88805198669433594</v>
      </c>
      <c r="U26" s="14">
        <v>0.90604883432388306</v>
      </c>
    </row>
    <row r="27" spans="1:21" ht="14.5" customHeight="1" thickBot="1" x14ac:dyDescent="0.35">
      <c r="M27" s="20">
        <v>1</v>
      </c>
      <c r="N27" s="10">
        <v>0.89875859022140503</v>
      </c>
      <c r="O27" s="11">
        <v>0.8985288143157959</v>
      </c>
      <c r="P27" s="15">
        <v>0.91246169805526733</v>
      </c>
      <c r="R27" s="20">
        <v>1</v>
      </c>
      <c r="S27" s="10">
        <v>0.85034191608428955</v>
      </c>
      <c r="T27" s="11">
        <v>0.89278918504714966</v>
      </c>
      <c r="U27" s="15">
        <v>0.89113295078277588</v>
      </c>
    </row>
    <row r="28" spans="1:21" ht="14.5" customHeight="1" x14ac:dyDescent="0.3">
      <c r="M28" s="19" t="s">
        <v>39</v>
      </c>
      <c r="N28" s="7">
        <f>AVERAGE(N25:N27)</f>
        <v>0.91203737258911133</v>
      </c>
      <c r="O28" s="8">
        <f t="shared" ref="O28" si="5">AVERAGE(O25:O27)</f>
        <v>0.91759643952051795</v>
      </c>
      <c r="P28" s="14">
        <f t="shared" ref="P28" si="6">AVERAGE(P25:P27)</f>
        <v>0.90012715260187781</v>
      </c>
      <c r="R28" s="22" t="s">
        <v>39</v>
      </c>
      <c r="S28" s="7">
        <f>AVERAGE(S25:S27)</f>
        <v>0.85808744033177697</v>
      </c>
      <c r="T28" s="8">
        <f t="shared" ref="T28" si="7">AVERAGE(T25:T27)</f>
        <v>0.89118452866872155</v>
      </c>
      <c r="U28" s="14">
        <f t="shared" ref="U28" si="8">AVERAGE(U25:U27)</f>
        <v>0.89789525667826331</v>
      </c>
    </row>
    <row r="29" spans="1:21" ht="14.5" customHeight="1" thickBot="1" x14ac:dyDescent="0.35">
      <c r="M29" s="20" t="s">
        <v>40</v>
      </c>
      <c r="N29" s="10">
        <f>MEDIAN(N25:N27)</f>
        <v>0.91532200574874878</v>
      </c>
      <c r="O29" s="11">
        <f t="shared" ref="O29:P29" si="9">MEDIAN(O25:O27)</f>
        <v>0.91782993078231812</v>
      </c>
      <c r="P29" s="15">
        <f t="shared" si="9"/>
        <v>0.90195071697235107</v>
      </c>
      <c r="R29" s="20" t="s">
        <v>40</v>
      </c>
      <c r="S29" s="10">
        <f>MEDIAN(S25:S27)</f>
        <v>0.86028093099594116</v>
      </c>
      <c r="T29" s="11">
        <f t="shared" ref="T29:U29" si="10">MEDIAN(T25:T27)</f>
        <v>0.89271241426467896</v>
      </c>
      <c r="U29" s="15">
        <f t="shared" si="10"/>
        <v>0.8965039849281311</v>
      </c>
    </row>
    <row r="30" spans="1:21" ht="14.5" customHeight="1" thickBot="1" x14ac:dyDescent="0.35"/>
    <row r="31" spans="1:21" ht="14.5" customHeight="1" thickBot="1" x14ac:dyDescent="0.35">
      <c r="N31" s="16" t="s">
        <v>8</v>
      </c>
      <c r="O31" s="17"/>
      <c r="P31" s="18"/>
      <c r="S31" s="16" t="s">
        <v>8</v>
      </c>
      <c r="T31" s="17"/>
      <c r="U31" s="18"/>
    </row>
    <row r="32" spans="1:21" ht="14.5" customHeight="1" thickBot="1" x14ac:dyDescent="0.35">
      <c r="M32" s="21" t="s">
        <v>3</v>
      </c>
      <c r="N32" s="5" t="s">
        <v>25</v>
      </c>
      <c r="O32" s="5" t="s">
        <v>14</v>
      </c>
      <c r="P32" s="13" t="s">
        <v>32</v>
      </c>
      <c r="R32" s="23" t="s">
        <v>3</v>
      </c>
      <c r="S32" s="4" t="s">
        <v>25</v>
      </c>
      <c r="T32" s="5" t="s">
        <v>14</v>
      </c>
      <c r="U32" s="13" t="s">
        <v>32</v>
      </c>
    </row>
    <row r="33" spans="13:21" ht="14.5" customHeight="1" x14ac:dyDescent="0.3">
      <c r="M33" s="19">
        <v>0</v>
      </c>
      <c r="N33" s="5">
        <v>-0.90806841850280762</v>
      </c>
      <c r="O33" s="5">
        <v>-0.54871934652328491</v>
      </c>
      <c r="P33" s="13">
        <v>-1.2959855794906621</v>
      </c>
      <c r="R33" s="4">
        <v>0</v>
      </c>
      <c r="S33" s="4">
        <v>-2.8770649433135991</v>
      </c>
      <c r="T33" s="5">
        <v>-1.191626191139221</v>
      </c>
      <c r="U33" s="13">
        <v>-1.136000871658325</v>
      </c>
    </row>
    <row r="34" spans="13:21" ht="14.5" customHeight="1" x14ac:dyDescent="0.3">
      <c r="M34" s="22">
        <v>0.5</v>
      </c>
      <c r="N34" s="8">
        <v>-1.470527648925781</v>
      </c>
      <c r="O34" s="8">
        <v>-0.60091352462768555</v>
      </c>
      <c r="P34" s="14">
        <v>-1.2923175096511841</v>
      </c>
      <c r="R34" s="7">
        <v>0.5</v>
      </c>
      <c r="S34" s="7">
        <v>-2.7386655807495122</v>
      </c>
      <c r="T34" s="8">
        <v>-1.181221127510071</v>
      </c>
      <c r="U34" s="14">
        <v>-1.011053204536438</v>
      </c>
    </row>
    <row r="35" spans="13:21" ht="14.5" customHeight="1" thickBot="1" x14ac:dyDescent="0.35">
      <c r="M35" s="20">
        <v>1</v>
      </c>
      <c r="N35" s="11">
        <v>-1.2310763597488401</v>
      </c>
      <c r="O35" s="11">
        <v>-1.201697111129761</v>
      </c>
      <c r="P35" s="15">
        <v>-1.288291454315186</v>
      </c>
      <c r="R35" s="10">
        <v>1</v>
      </c>
      <c r="S35" s="10">
        <v>-3.371492862701416</v>
      </c>
      <c r="T35" s="11">
        <v>-1.095947265625</v>
      </c>
      <c r="U35" s="15">
        <v>-1.1254979372024541</v>
      </c>
    </row>
    <row r="36" spans="13:21" ht="14.5" customHeight="1" x14ac:dyDescent="0.3">
      <c r="M36" s="22" t="s">
        <v>39</v>
      </c>
      <c r="N36" s="8">
        <f>AVERAGE(N33:N35)</f>
        <v>-1.2032241423924763</v>
      </c>
      <c r="O36" s="8">
        <f t="shared" ref="O36" si="11">AVERAGE(O33:O35)</f>
        <v>-0.78377666076024377</v>
      </c>
      <c r="P36" s="14">
        <f t="shared" ref="P36" si="12">AVERAGE(P33:P35)</f>
        <v>-1.292198181152344</v>
      </c>
      <c r="R36" s="7" t="s">
        <v>39</v>
      </c>
      <c r="S36" s="7">
        <f>AVERAGE(S33:S35)</f>
        <v>-2.9957411289215088</v>
      </c>
      <c r="T36" s="8">
        <f t="shared" ref="T36" si="13">AVERAGE(T33:T35)</f>
        <v>-1.1562648614247639</v>
      </c>
      <c r="U36" s="14">
        <f t="shared" ref="U36" si="14">AVERAGE(U33:U35)</f>
        <v>-1.0908506711324057</v>
      </c>
    </row>
    <row r="37" spans="13:21" ht="14.5" customHeight="1" thickBot="1" x14ac:dyDescent="0.35">
      <c r="M37" s="20" t="s">
        <v>40</v>
      </c>
      <c r="N37" s="11">
        <f>MEDIAN(N33:N35)</f>
        <v>-1.2310763597488401</v>
      </c>
      <c r="O37" s="11">
        <f t="shared" ref="O37:P37" si="15">MEDIAN(O33:O35)</f>
        <v>-0.60091352462768555</v>
      </c>
      <c r="P37" s="15">
        <f t="shared" si="15"/>
        <v>-1.2923175096511841</v>
      </c>
      <c r="R37" s="10" t="s">
        <v>40</v>
      </c>
      <c r="S37" s="10">
        <f>MEDIAN(S33:S35)</f>
        <v>-2.8770649433135991</v>
      </c>
      <c r="T37" s="11">
        <f t="shared" ref="T37:U37" si="16">MEDIAN(T33:T35)</f>
        <v>-1.181221127510071</v>
      </c>
      <c r="U37" s="15">
        <f t="shared" si="16"/>
        <v>-1.1254979372024541</v>
      </c>
    </row>
  </sheetData>
  <mergeCells count="6">
    <mergeCell ref="N14:P14"/>
    <mergeCell ref="S14:U14"/>
    <mergeCell ref="N23:P23"/>
    <mergeCell ref="S23:U23"/>
    <mergeCell ref="N31:P31"/>
    <mergeCell ref="S31:U3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KEITH LAYCOCK NARAYAN</cp:lastModifiedBy>
  <dcterms:created xsi:type="dcterms:W3CDTF">2026-01-17T00:01:48Z</dcterms:created>
  <dcterms:modified xsi:type="dcterms:W3CDTF">2026-01-17T00:26:24Z</dcterms:modified>
</cp:coreProperties>
</file>